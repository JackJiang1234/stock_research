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15-2025现金流核心数据" sheetId="2" r:id="rId5"/>
    <sheet name="现金流深度分析报告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<sst xmlns="http://schemas.openxmlformats.org/spreadsheetml/2006/main" count="42" uniqueCount="42">
  <si>
    <t xml:space="preserve">  </t>
  </si>
  <si>
    <t>泸州老窖2015-2025年现金流量表核心数据</t>
  </si>
  <si>
    <t>年份</t>
  </si>
  <si>
    <t>经营活动现金流净额</t>
  </si>
  <si>
    <t>投资活动现金流净额</t>
  </si>
  <si>
    <t>筹资活动现金流净额</t>
  </si>
  <si>
    <t>归母净利润</t>
  </si>
  <si>
    <t>现金及现金等价物净增加额</t>
  </si>
  <si>
    <t>经营现金流同比增速</t>
  </si>
  <si>
    <t>投资现金流同比增速</t>
  </si>
  <si>
    <t>筹资现金流同比增速</t>
  </si>
  <si>
    <t>盈利现金比率</t>
  </si>
  <si>
    <t>2015-2025年累计/均值</t>
  </si>
  <si>
    <t>泸州老窖2015-2025年现金流量深度分析报告</t>
  </si>
  <si>
    <t>一、整体现金流概况</t>
  </si>
  <si>
    <t>2015-2025年，泸州老窖经营活动累计产生现金流净额702.79亿元，是公司核心现金来源；投资活动累计净流出188.84亿元，主要用于产能建设与项目投资；筹资活动累计净流出335.67亿元，主要用于分红与债务偿还。</t>
  </si>
  <si>
    <t>整体来看，公司现金流呈现"经营造血、投资扩产、筹资分红"的典型白酒企业特征，2024年经营现金流达到峰值191.82亿元，2025年出现显著回落。</t>
  </si>
  <si>
    <t>二、分阶段核心特征</t>
  </si>
  <si>
    <t>1. 2015-2016年：经营现金流触底反弹，造血能力快速修复</t>
  </si>
  <si>
    <t>2015年受行业深度调整影响，经营现金流净额仅1.54亿元，为十年最低；2016年随行业复苏、公司渠道改革落地，经营现金流大幅回升至27.50亿元，同比增长1685.71%，盈利现金比率从10.46%提升至140.52%，盈利质量显著改善。</t>
  </si>
  <si>
    <t>2. 2017-2023年：经营现金流稳步增长，高盈利质量常态化</t>
  </si>
  <si>
    <t>2017-2023年，经营现金流从37.04亿元持续增长至106.48亿元，年复合增速约19.3%，盈利现金比率长期维持在80%以上，2021年达到96.77%，净利润与经营现金流高度匹配，盈利质量优异。</t>
  </si>
  <si>
    <t>投资活动持续净流出，2019年净流出45.51亿元为十年最高，主要用于智能酿造技改、产能扩建等长期项目，为公司后续增长奠定基础。</t>
  </si>
  <si>
    <t>筹资活动除2017、2019年小幅净流入外，其余年份均为净流出，公司持续通过高分红回报股东，2021年筹资净流出31.83亿元，主要为分红支出。</t>
  </si>
  <si>
    <t>3. 2024年：经营现金流大幅冲高，筹资端偿债压力显现</t>
  </si>
  <si>
    <t>2024年经营现金流净额达到191.82亿元，同比增长80.15%，为十年峰值，主要系公司渠道回款加快、销售收现能力大幅提升，盈利现金比率达到142.37%，创十年新高。</t>
  </si>
  <si>
    <t>筹资活动净流出103.29亿元，同比大幅扩大748.03%，主要系公司集中偿还债务，同时维持高分红支出，筹资端现金流出压力显著上升。</t>
  </si>
  <si>
    <t>4. 2025年：现金流全面承压，经营造血能力大幅收缩</t>
  </si>
  <si>
    <t>2025年经营现金流净额71.23亿元，同比大幅下降62.86%，主要受行业需求疲软、渠道去库存、打款意愿下降影响，销售回款大幅放缓，经营端造血能力显著收缩。</t>
  </si>
  <si>
    <t>投资活动净流出17.36亿元，同比扩大25.52%，公司持续推进产能项目建设，投资支出保持稳定。</t>
  </si>
  <si>
    <t>筹资活动净流出118.20亿元，同比进一步扩大14.44%，借款收到的现金同比减少79.59%，同时维持89.98亿元的分红支出，公司面临较大的偿债与分红压力。</t>
  </si>
  <si>
    <t>2025年现金及现金等价物净增加额为-64.33亿元，同比由正转负，现金流整体呈现大幅净流出状态，流动性压力显著上升。</t>
  </si>
  <si>
    <t>三、核心结论与风险提示</t>
  </si>
  <si>
    <t>1. 核心结论</t>
  </si>
  <si>
    <t>① 2015-2024年，泸州老窖经营现金流持续增长，盈利质量长期优异，具备极强的内生造血能力，是公司核心护城河之一。</t>
  </si>
  <si>
    <t>② 2025年现金流承压主要受行业周期与渠道调整影响，属于阶段性波动，公司长期品牌壁垒与产品竞争力仍在，调整期后有望逐步修复。</t>
  </si>
  <si>
    <t>③ 公司投资活动长期围绕主业产能建设，无大额多元化投资，资本开支审慎，符合白酒行业长期发展逻辑。</t>
  </si>
  <si>
    <t>④ 公司持续高分红回报股东，2015-2025年累计分红超300亿元，筹资端净流出主要为分红与偿债，无异常融资行为。</t>
  </si>
  <si>
    <t>2. 风险提示</t>
  </si>
  <si>
    <t>① 行业需求持续疲软，渠道去库存周期拉长，可能导致经营现金流进一步承压。</t>
  </si>
  <si>
    <t>② 批价倒挂、价格战加剧，可能影响公司盈利水平与回款能力，进而冲击经营现金流。</t>
  </si>
  <si>
    <t>③ 筹资端持续大额净流出，若经营现金流未能及时修复，可能导致公司流动性压力进一步上升。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</si>
</sst>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"/>
    <numFmt numFmtId="165" formatCode="#,##0.00"/>
    <numFmt numFmtId="166" formatCode="0.00%"/>
  </numFmts>
  <fonts count="7">
    <font>
      <sz val="10"/>
      <color theme="1"/>
      <name val="Calibri"/>
      <family val="2"/>
      <scheme val="minor"/>
    </font>
    <font>
      <b val="true"/>
      <sz val="14"/>
      <color rgb="FFFFFFFF"/>
      <name val="Arial"/>
      <family val="2"/>
    </font>
    <font>
      <sz val="11"/>
      <color rgb="FF000000"/>
      <name val="Calibri"/>
      <family val="2"/>
    </font>
    <font>
      <b val="true"/>
      <sz val="11"/>
      <color rgb="FFFFFFFF"/>
      <name val="Arial"/>
      <family val="2"/>
    </font>
    <font>
      <b val="true"/>
      <sz val="11"/>
      <color rgb="FF000000"/>
      <name val="Arial"/>
      <family val="2"/>
    </font>
    <font>
      <b val="true"/>
      <sz val="12"/>
      <color rgb="FF003366"/>
      <name val="Arial"/>
      <family val="2"/>
    </font>
    <font>
      <sz val="11"/>
      <color rgb="FF000000"/>
      <name val="Arial"/>
      <family val="2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D9D9D9"/>
        <bgColor/>
      </patternFill>
    </fill>
    <fill>
      <patternFill patternType="solid">
        <fgColor rgb="FF003366"/>
        <bgColor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1" fillId="3" fontId="3" numFmtId="0" xfId="0">
      <alignment horizontal="center" vertical="center"/>
    </xf>
    <xf applyAlignment="true" applyBorder="false" applyFill="true" applyFont="true" applyNumberFormat="true" applyProtection="false" borderId="1" fillId="4" fontId="2" numFmtId="164" xfId="0">
      <alignment horizontal="center" vertical="center"/>
    </xf>
    <xf applyAlignment="true" applyBorder="false" applyFill="true" applyFont="true" applyNumberFormat="true" applyProtection="false" borderId="1" fillId="4" fontId="2" numFmtId="165" xfId="0">
      <alignment horizontal="right" vertical="center"/>
    </xf>
    <xf applyAlignment="true" applyBorder="false" applyFill="true" applyFont="true" applyNumberFormat="true" applyProtection="false" borderId="0" fillId="4" fontId="2" numFmtId="165" xfId="0">
      <alignment vertical="bottom"/>
    </xf>
    <xf applyAlignment="true" applyBorder="false" applyFill="true" applyFont="true" applyNumberFormat="false" applyProtection="false" borderId="0" fillId="4" fontId="2" numFmtId="0" xfId="0">
      <alignment vertical="bottom"/>
    </xf>
    <xf applyAlignment="true" applyBorder="false" applyFill="true" applyFont="true" applyNumberFormat="true" applyProtection="false" borderId="0" fillId="4" fontId="2" numFmtId="166" xfId="0">
      <alignment vertical="bottom"/>
    </xf>
    <xf applyAlignment="true" applyBorder="false" applyFill="false" applyFont="true" applyNumberFormat="true" applyProtection="false" borderId="1" fillId="0" fontId="2" numFmtId="164" xfId="0">
      <alignment horizontal="center" vertical="center"/>
    </xf>
    <xf applyAlignment="true" applyBorder="false" applyFill="false" applyFont="true" applyNumberFormat="true" applyProtection="false" borderId="1" fillId="0" fontId="2" numFmtId="165" xfId="0">
      <alignment horizontal="right" vertical="center"/>
    </xf>
    <xf applyAlignment="true" applyBorder="false" applyFill="false" applyFont="true" applyNumberFormat="true" applyProtection="false" borderId="0" fillId="0" fontId="2" numFmtId="165" xfId="0">
      <alignment vertical="bottom"/>
    </xf>
    <xf applyAlignment="true" applyBorder="false" applyFill="false" applyFont="true" applyNumberFormat="true" applyProtection="false" borderId="0" fillId="0" fontId="2" numFmtId="166" xfId="0">
      <alignment vertical="bottom"/>
    </xf>
    <xf applyAlignment="true" applyBorder="false" applyFill="true" applyFont="true" applyNumberFormat="false" applyProtection="false" borderId="1" fillId="5" fontId="4" numFmtId="0" xfId="0">
      <alignment horizontal="center" vertical="center"/>
    </xf>
    <xf applyAlignment="true" applyBorder="false" applyFill="true" applyFont="true" applyNumberFormat="false" applyProtection="false" borderId="1" fillId="5" fontId="4" numFmtId="0" xfId="0">
      <alignment horizontal="right" vertical="center"/>
    </xf>
    <xf applyAlignment="true" applyBorder="false" applyFill="true" applyFont="true" applyNumberFormat="true" applyProtection="false" borderId="1" fillId="5" fontId="4" numFmtId="165" xfId="0">
      <alignment horizontal="right" vertical="center"/>
    </xf>
    <xf applyAlignment="true" applyBorder="false" applyFill="true" applyFont="true" applyNumberFormat="true" applyProtection="false" borderId="1" fillId="5" fontId="4" numFmtId="166" xfId="0">
      <alignment horizontal="right" vertical="center"/>
    </xf>
    <xf applyAlignment="true" applyBorder="false" applyFill="true" applyFont="true" applyNumberFormat="false" applyProtection="false" borderId="0" fillId="6" fontId="1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left" vertical="center"/>
    </xf>
    <xf applyAlignment="true" applyBorder="false" applyFill="false" applyFont="true" applyNumberFormat="false" applyProtection="false" borderId="0" fillId="0" fontId="6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2" min="2" style="0" width="23"/>
    <col collapsed="false" customWidth="true" hidden="false" max="4" min="4" style="0" width="23"/>
    <col collapsed="false" customWidth="true" hidden="false" max="6" min="6" style="0" width="30"/>
    <col collapsed="false" customWidth="true" hidden="false" max="8" min="8" style="0" width="24"/>
    <col collapsed="false" customWidth="true" hidden="false" max="10" min="10" style="0" width="21"/>
    <col collapsed="false" customWidth="true" hidden="false" max="1" min="1" style="0" width="44"/>
    <col collapsed="false" customWidth="true" hidden="false" max="3" min="3" style="0" width="23"/>
    <col collapsed="false" customWidth="true" hidden="false" max="5" min="5" style="0" width="15"/>
    <col collapsed="false" customWidth="true" hidden="false" max="7" min="7" style="0" width="24"/>
    <col collapsed="false" customWidth="true" hidden="false" max="9" min="9" style="0" width="24"/>
  </cols>
  <sheetData>
    <row customHeight="true" ht="38" r="1">
      <c r="A1" s="1" t="s">
        <v>1</v>
      </c>
    </row>
    <row customHeight="true" ht="29"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customHeight="true" ht="15" r="3">
      <c r="A3" s="3">
        <v>2015</v>
      </c>
      <c r="B3" s="4">
        <v>1.54</v>
      </c>
      <c r="C3" s="4">
        <v>-1.12</v>
      </c>
      <c r="D3" s="4">
        <v>-11.91</v>
      </c>
      <c r="E3" s="4">
        <v>14.72</v>
      </c>
      <c r="F3" s="5">
        <f>B3+C3+D3</f>
      </c>
      <c r="G3" s="6"/>
      <c r="H3" s="6"/>
      <c r="I3" s="6"/>
      <c r="J3" s="7">
        <f>B3/E3</f>
      </c>
    </row>
    <row customHeight="true" ht="15" r="4">
      <c r="A4" s="8">
        <v>2016</v>
      </c>
      <c r="B4" s="9">
        <v>27.5</v>
      </c>
      <c r="C4" s="9">
        <v>-2.36</v>
      </c>
      <c r="D4" s="9">
        <v>-12.33</v>
      </c>
      <c r="E4" s="9">
        <v>19.57</v>
      </c>
      <c r="F4" s="10">
        <f>B4+C4+D4</f>
      </c>
      <c r="G4" s="11">
        <f>(B4-B3)/ABS(B3)</f>
      </c>
      <c r="H4" s="11">
        <f>(C4-C3)/ABS(C3)</f>
      </c>
      <c r="I4" s="11">
        <f>(D4-D3)/ABS(D3)</f>
      </c>
      <c r="J4" s="11">
        <f>B4/E4</f>
      </c>
    </row>
    <row customHeight="true" ht="15" r="5">
      <c r="A5" s="3">
        <v>2017</v>
      </c>
      <c r="B5" s="4">
        <v>37.04</v>
      </c>
      <c r="C5" s="4">
        <v>-14.07</v>
      </c>
      <c r="D5" s="4">
        <v>13.26</v>
      </c>
      <c r="E5" s="4">
        <v>25.58</v>
      </c>
      <c r="F5" s="5">
        <f>B5+C5+D5</f>
      </c>
      <c r="G5" s="7">
        <f>(B5-B4)/ABS(B4)</f>
      </c>
      <c r="H5" s="7">
        <f>(C5-C4)/ABS(C4)</f>
      </c>
      <c r="I5" s="7">
        <f>(D5-D4)/ABS(D4)</f>
      </c>
      <c r="J5" s="7">
        <f>B5/E5</f>
      </c>
    </row>
    <row customHeight="true" ht="15" r="6">
      <c r="A6" s="8">
        <v>2018</v>
      </c>
      <c r="B6" s="9">
        <v>42.98</v>
      </c>
      <c r="C6" s="9">
        <v>-14.65</v>
      </c>
      <c r="D6" s="9">
        <v>-19.17</v>
      </c>
      <c r="E6" s="9">
        <v>34.86</v>
      </c>
      <c r="F6" s="10">
        <f>B6+C6+D6</f>
      </c>
      <c r="G6" s="11">
        <f>(B6-B5)/ABS(B5)</f>
      </c>
      <c r="H6" s="11">
        <f>(C6-C5)/ABS(C5)</f>
      </c>
      <c r="I6" s="11">
        <f>(D6-D5)/ABS(D5)</f>
      </c>
      <c r="J6" s="11">
        <f>B6/E6</f>
      </c>
    </row>
    <row customHeight="true" ht="15" r="7">
      <c r="A7" s="3">
        <v>2019</v>
      </c>
      <c r="B7" s="4">
        <v>48.42</v>
      </c>
      <c r="C7" s="4">
        <v>-45.51</v>
      </c>
      <c r="D7" s="4">
        <v>0.93</v>
      </c>
      <c r="E7" s="4">
        <v>46.42</v>
      </c>
      <c r="F7" s="5">
        <f>B7+C7+D7</f>
      </c>
      <c r="G7" s="7">
        <f>(B7-B6)/ABS(B6)</f>
      </c>
      <c r="H7" s="7">
        <f>(C7-C6)/ABS(C6)</f>
      </c>
      <c r="I7" s="7">
        <f>(D7-D6)/ABS(D6)</f>
      </c>
      <c r="J7" s="7">
        <f>B7/E7</f>
      </c>
    </row>
    <row customHeight="true" ht="15" r="8">
      <c r="A8" s="8">
        <v>2020</v>
      </c>
      <c r="B8" s="9">
        <v>49.16</v>
      </c>
      <c r="C8" s="9">
        <v>-21.74</v>
      </c>
      <c r="D8" s="9">
        <v>-9.17</v>
      </c>
      <c r="E8" s="9">
        <v>60.06</v>
      </c>
      <c r="F8" s="10">
        <f>B8+C8+D8</f>
      </c>
      <c r="G8" s="11">
        <f>(B8-B7)/ABS(B7)</f>
      </c>
      <c r="H8" s="11">
        <f>(C8-C7)/ABS(C7)</f>
      </c>
      <c r="I8" s="11">
        <f>(D8-D7)/ABS(D7)</f>
      </c>
      <c r="J8" s="11">
        <f>B8/E8</f>
      </c>
    </row>
    <row customHeight="true" ht="15" r="9">
      <c r="A9" s="3">
        <v>2021</v>
      </c>
      <c r="B9" s="4">
        <v>76.99</v>
      </c>
      <c r="C9" s="4">
        <v>-26.78</v>
      </c>
      <c r="D9" s="4">
        <v>-31.83</v>
      </c>
      <c r="E9" s="4">
        <v>79.56</v>
      </c>
      <c r="F9" s="5">
        <f>B9+C9+D9</f>
      </c>
      <c r="G9" s="7">
        <f>(B9-B8)/ABS(B8)</f>
      </c>
      <c r="H9" s="7">
        <f>(C9-C8)/ABS(C8)</f>
      </c>
      <c r="I9" s="7">
        <f>(D9-D8)/ABS(D8)</f>
      </c>
      <c r="J9" s="7">
        <f>B9/E9</f>
      </c>
    </row>
    <row customHeight="true" ht="15" r="10">
      <c r="A10" s="8">
        <v>2022</v>
      </c>
      <c r="B10" s="9">
        <v>82.63</v>
      </c>
      <c r="C10" s="9">
        <v>-18.74</v>
      </c>
      <c r="D10" s="9">
        <v>-20.78</v>
      </c>
      <c r="E10" s="9">
        <v>103.65</v>
      </c>
      <c r="F10" s="10">
        <f>B10+C10+D10</f>
      </c>
      <c r="G10" s="11">
        <f>(B10-B9)/ABS(B9)</f>
      </c>
      <c r="H10" s="11">
        <f>(C10-C9)/ABS(C9)</f>
      </c>
      <c r="I10" s="11">
        <f>(D10-D9)/ABS(D9)</f>
      </c>
      <c r="J10" s="11">
        <f>B10/E10</f>
      </c>
    </row>
    <row customHeight="true" ht="15" r="11">
      <c r="A11" s="3">
        <v>2023</v>
      </c>
      <c r="B11" s="4">
        <v>106.48</v>
      </c>
      <c r="C11" s="4">
        <v>-12.68</v>
      </c>
      <c r="D11" s="4">
        <v>-12.18</v>
      </c>
      <c r="E11" s="4">
        <v>132.46</v>
      </c>
      <c r="F11" s="5">
        <f>B11+C11+D11</f>
      </c>
      <c r="G11" s="7">
        <f>(B11-B10)/ABS(B10)</f>
      </c>
      <c r="H11" s="7">
        <f>(C11-C10)/ABS(C10)</f>
      </c>
      <c r="I11" s="7">
        <f>(D11-D10)/ABS(D10)</f>
      </c>
      <c r="J11" s="7">
        <f>B11/E11</f>
      </c>
    </row>
    <row customHeight="true" ht="15" r="12">
      <c r="A12" s="8">
        <v>2024</v>
      </c>
      <c r="B12" s="9">
        <v>191.82</v>
      </c>
      <c r="C12" s="9">
        <v>-13.83</v>
      </c>
      <c r="D12" s="9">
        <v>-103.29</v>
      </c>
      <c r="E12" s="9">
        <v>134.73</v>
      </c>
      <c r="F12" s="10">
        <f>B12+C12+D12</f>
      </c>
      <c r="G12" s="11">
        <f>(B12-B11)/ABS(B11)</f>
      </c>
      <c r="H12" s="11">
        <f>(C12-C11)/ABS(C11)</f>
      </c>
      <c r="I12" s="11">
        <f>(D12-D11)/ABS(D11)</f>
      </c>
      <c r="J12" s="11">
        <f>B12/E12</f>
      </c>
    </row>
    <row customHeight="true" ht="15" r="13">
      <c r="A13" s="3">
        <v>2025</v>
      </c>
      <c r="B13" s="4">
        <v>71.23</v>
      </c>
      <c r="C13" s="4">
        <v>-17.36</v>
      </c>
      <c r="D13" s="4">
        <v>-118.2</v>
      </c>
      <c r="E13" s="4">
        <v>108.31</v>
      </c>
      <c r="F13" s="5">
        <f>B13+C13+D13</f>
      </c>
      <c r="G13" s="7">
        <f>(B13-B12)/ABS(B12)</f>
      </c>
      <c r="H13" s="7">
        <f>(C13-C12)/ABS(C12)</f>
      </c>
      <c r="I13" s="7">
        <f>(D13-D12)/ABS(D12)</f>
      </c>
      <c r="J13" s="7">
        <f>B13/E13</f>
      </c>
    </row>
    <row customHeight="true" ht="15" r="14">
      <c r="A14" s="12" t="s">
        <v>12</v>
      </c>
      <c r="B14" s="13"/>
      <c r="C14" s="13"/>
      <c r="D14" s="13"/>
      <c r="E14" s="13"/>
      <c r="F14" s="14">
        <f>SUM(F3:F13)</f>
      </c>
      <c r="G14" s="13"/>
      <c r="H14" s="13"/>
      <c r="I14" s="13"/>
      <c r="J14" s="15">
        <f>AVERAGE(J3:J13)</f>
      </c>
    </row>
  </sheetData>
  <mergeCells>
    <mergeCell ref="A1:J1"/>
    <mergeCell ref="A14:E14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2" min="2" style="0" width="101"/>
    <col collapsed="false" customWidth="true" hidden="false" max="4" min="4" style="0" width="9"/>
    <col collapsed="false" customWidth="true" hidden="false" max="6" min="6" style="0" width="9"/>
    <col collapsed="false" customWidth="true" hidden="false" max="8" min="8" style="0" width="9"/>
    <col collapsed="false" customWidth="true" hidden="false" max="1" min="1" style="0" width="61"/>
    <col collapsed="false" customWidth="true" hidden="false" max="3" min="3" style="0" width="9"/>
    <col collapsed="false" customWidth="true" hidden="false" max="5" min="5" style="0" width="9"/>
    <col collapsed="false" customWidth="true" hidden="false" max="7" min="7" style="0" width="9"/>
  </cols>
  <sheetData>
    <row customHeight="true" ht="38" r="1">
      <c r="A1" s="16" t="s">
        <v>13</v>
      </c>
    </row>
    <row customHeight="true" ht="24" r="2">
      <c r="A2" s="17" t="s">
        <v>14</v>
      </c>
    </row>
    <row customHeight="true" ht="18" r="3">
      <c r="B3" s="18" t="s">
        <v>15</v>
      </c>
    </row>
    <row customHeight="true" ht="18" r="4">
      <c r="B4" s="18" t="s">
        <v>16</v>
      </c>
    </row>
    <row customHeight="true" ht="24" r="5">
      <c r="A5" s="17"/>
    </row>
    <row customHeight="true" ht="24" r="6">
      <c r="A6" s="17" t="s">
        <v>17</v>
      </c>
    </row>
    <row customHeight="true" ht="24" r="7">
      <c r="A7" s="17" t="s">
        <v>18</v>
      </c>
    </row>
    <row customHeight="true" ht="18" r="8">
      <c r="B8" s="18" t="s">
        <v>19</v>
      </c>
    </row>
    <row customHeight="true" ht="24" r="9">
      <c r="A9" s="17"/>
    </row>
    <row customHeight="true" ht="24" r="10">
      <c r="A10" s="17" t="s">
        <v>20</v>
      </c>
    </row>
    <row customHeight="true" ht="18" r="11">
      <c r="B11" s="18" t="s">
        <v>21</v>
      </c>
    </row>
    <row customHeight="true" ht="18" r="12">
      <c r="B12" s="18" t="s">
        <v>22</v>
      </c>
    </row>
    <row customHeight="true" ht="18" r="13">
      <c r="B13" s="18" t="s">
        <v>23</v>
      </c>
    </row>
    <row customHeight="true" ht="24" r="14">
      <c r="A14" s="17"/>
    </row>
    <row customHeight="true" ht="24" r="15">
      <c r="A15" s="17" t="s">
        <v>24</v>
      </c>
    </row>
    <row customHeight="true" ht="18" r="16">
      <c r="B16" s="18" t="s">
        <v>25</v>
      </c>
    </row>
    <row customHeight="true" ht="18" r="17">
      <c r="B17" s="18" t="s">
        <v>26</v>
      </c>
    </row>
    <row customHeight="true" ht="24" r="18">
      <c r="A18" s="17"/>
    </row>
    <row customHeight="true" ht="24" r="19">
      <c r="A19" s="17" t="s">
        <v>27</v>
      </c>
    </row>
    <row customHeight="true" ht="18" r="20">
      <c r="B20" s="18" t="s">
        <v>28</v>
      </c>
    </row>
    <row customHeight="true" ht="18" r="21">
      <c r="B21" s="18" t="s">
        <v>29</v>
      </c>
    </row>
    <row customHeight="true" ht="18" r="22">
      <c r="B22" s="18" t="s">
        <v>30</v>
      </c>
    </row>
    <row customHeight="true" ht="18" r="23">
      <c r="B23" s="18" t="s">
        <v>31</v>
      </c>
    </row>
    <row customHeight="true" ht="24" r="24">
      <c r="A24" s="17"/>
    </row>
    <row customHeight="true" ht="24" r="25">
      <c r="A25" s="17" t="s">
        <v>32</v>
      </c>
    </row>
    <row customHeight="true" ht="24" r="26">
      <c r="A26" s="17" t="s">
        <v>33</v>
      </c>
    </row>
    <row customHeight="true" ht="18" r="27">
      <c r="B27" s="18" t="s">
        <v>34</v>
      </c>
    </row>
    <row customHeight="true" ht="18" r="28">
      <c r="B28" s="18" t="s">
        <v>35</v>
      </c>
    </row>
    <row customHeight="true" ht="18" r="29">
      <c r="B29" s="18" t="s">
        <v>36</v>
      </c>
    </row>
    <row customHeight="true" ht="18" r="30">
      <c r="B30" s="18" t="s">
        <v>37</v>
      </c>
    </row>
    <row customHeight="true" ht="24" r="31">
      <c r="A31" s="17"/>
    </row>
    <row customHeight="true" ht="24" r="32">
      <c r="A32" s="17" t="s">
        <v>38</v>
      </c>
    </row>
    <row customHeight="true" ht="18" r="33">
      <c r="B33" s="18" t="s">
        <v>39</v>
      </c>
    </row>
    <row customHeight="true" ht="18" r="34">
      <c r="B34" s="18" t="s">
        <v>40</v>
      </c>
    </row>
    <row customHeight="true" ht="18" r="35">
      <c r="B35" s="18" t="s">
        <v>41</v>
      </c>
    </row>
  </sheetData>
  <mergeCells>
    <mergeCell ref="A9:H9"/>
    <mergeCell ref="A15:H15"/>
    <mergeCell ref="A24:H24"/>
    <mergeCell ref="B30:H30"/>
    <mergeCell ref="B33:H33"/>
    <mergeCell ref="A1:H1"/>
    <mergeCell ref="B20:H20"/>
    <mergeCell ref="A6:H6"/>
    <mergeCell ref="A7:H7"/>
    <mergeCell ref="A25:H25"/>
    <mergeCell ref="B35:H35"/>
    <mergeCell ref="B4:H4"/>
    <mergeCell ref="B16:H16"/>
    <mergeCell ref="B3:H3"/>
    <mergeCell ref="A18:H18"/>
    <mergeCell ref="B22:H22"/>
    <mergeCell ref="A26:H26"/>
    <mergeCell ref="B27:H27"/>
    <mergeCell ref="B21:H21"/>
    <mergeCell ref="A2:H2"/>
    <mergeCell ref="B12:H12"/>
    <mergeCell ref="A14:H14"/>
    <mergeCell ref="B11:H11"/>
    <mergeCell ref="A5:H5"/>
    <mergeCell ref="A32:H32"/>
    <mergeCell ref="B23:H23"/>
    <mergeCell ref="B8:H8"/>
    <mergeCell ref="B17:H17"/>
    <mergeCell ref="B13:H13"/>
    <mergeCell ref="A10:H10"/>
    <mergeCell ref="B34:H34"/>
    <mergeCell ref="A19:H19"/>
    <mergeCell ref="B29:H29"/>
    <mergeCell ref="A31:H31"/>
    <mergeCell ref="B28:H2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{"Label":"1","ContentProducer":"001191110102MACQD9K64010000","ProduceID":"7646597435787234270","ReservedCode1":"","ContentPropagator":"","PropagateID":"","ReservedCode2":""}</vt:lpwstr>
  </property>
</Properties>
</file>